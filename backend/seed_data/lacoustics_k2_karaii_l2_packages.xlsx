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EA2C628-8336-4273-A22B-C09E66BCCCCB}" xr6:coauthVersionLast="47" xr6:coauthVersionMax="47" xr10:uidLastSave="{00000000-0000-0000-0000-000000000000}"/>
  <bookViews>
    <workbookView xWindow="-120" yWindow="-120" windowWidth="20730" windowHeight="11040" activeTab="3" xr2:uid="{2918F86F-C9C0-40A5-B8A8-110356425EBE}"/>
  </bookViews>
  <sheets>
    <sheet name="K2 (16x8)" sheetId="13" r:id="rId1"/>
    <sheet name="KARA II (12x4)" sheetId="15" r:id="rId2"/>
    <sheet name="KARA II (12x8)" sheetId="2" r:id="rId3"/>
    <sheet name="L2 (2x2x8)" sheetId="1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17" l="1"/>
  <c r="H35" i="17"/>
  <c r="G38" i="17" s="1"/>
  <c r="H34" i="17"/>
  <c r="H32" i="17"/>
  <c r="H31" i="17"/>
  <c r="H30" i="17"/>
  <c r="H29" i="17"/>
  <c r="H28" i="17"/>
  <c r="H27" i="17"/>
  <c r="H24" i="17"/>
  <c r="H23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G39" i="17" l="1"/>
  <c r="G40" i="17" s="1"/>
  <c r="H16" i="13" l="1"/>
  <c r="H12" i="2"/>
  <c r="H12" i="15"/>
  <c r="H12" i="13"/>
  <c r="H16" i="2" l="1"/>
  <c r="H20" i="15" l="1"/>
  <c r="H19" i="15"/>
  <c r="H18" i="15"/>
  <c r="H17" i="15"/>
  <c r="H15" i="15"/>
  <c r="H11" i="15"/>
  <c r="H9" i="15"/>
  <c r="H8" i="15"/>
  <c r="H7" i="15"/>
  <c r="H20" i="13"/>
  <c r="H19" i="13"/>
  <c r="H18" i="13"/>
  <c r="H15" i="13"/>
  <c r="H11" i="13"/>
  <c r="H9" i="13"/>
  <c r="H8" i="13"/>
  <c r="H7" i="13"/>
  <c r="G22" i="15" l="1"/>
  <c r="G23" i="15" s="1"/>
  <c r="G24" i="15" s="1"/>
  <c r="G22" i="13"/>
  <c r="G23" i="13" s="1"/>
  <c r="G24" i="13" s="1"/>
  <c r="H20" i="2" l="1"/>
  <c r="H11" i="2" l="1"/>
  <c r="H15" i="2"/>
  <c r="H18" i="2"/>
  <c r="H19" i="2"/>
  <c r="H21" i="2"/>
  <c r="H7" i="2"/>
  <c r="H8" i="2"/>
  <c r="H9" i="2"/>
  <c r="G23" i="2" l="1"/>
  <c r="G24" i="2" s="1"/>
  <c r="G25" i="2" s="1"/>
</calcChain>
</file>

<file path=xl/sharedStrings.xml><?xml version="1.0" encoding="utf-8"?>
<sst xmlns="http://schemas.openxmlformats.org/spreadsheetml/2006/main" count="320" uniqueCount="103">
  <si>
    <t>Date:</t>
  </si>
  <si>
    <t>MAIN SPEAKER</t>
  </si>
  <si>
    <t>L Acoustics</t>
  </si>
  <si>
    <t>Nos</t>
  </si>
  <si>
    <t>SUBWOOFERS</t>
  </si>
  <si>
    <t>AMPLIFIED COLTROLLER</t>
  </si>
  <si>
    <t>Total:</t>
  </si>
  <si>
    <t>GST(18%):</t>
  </si>
  <si>
    <t>Grand Total:</t>
  </si>
  <si>
    <t>S.NO.</t>
  </si>
  <si>
    <t>MAKE</t>
  </si>
  <si>
    <t>MODEL</t>
  </si>
  <si>
    <t>DESCRIPTION</t>
  </si>
  <si>
    <t>QTY.</t>
  </si>
  <si>
    <t>UNIT</t>
  </si>
  <si>
    <t>UNIT PRICE (INR)</t>
  </si>
  <si>
    <t>AMOUNT (INR)</t>
  </si>
  <si>
    <t>K2</t>
  </si>
  <si>
    <t>3-way full-range active WST® enclosure</t>
  </si>
  <si>
    <t>K2-BUMP</t>
  </si>
  <si>
    <t>Structure for flying K2 arrays  (incl. 1 extension sling + 1 laser adapter)</t>
  </si>
  <si>
    <t>K2-BAR</t>
  </si>
  <si>
    <t>Extension bar for K2-BUMP</t>
  </si>
  <si>
    <t>KS28</t>
  </si>
  <si>
    <t>Flyable subwoofer 2 x 18''</t>
  </si>
  <si>
    <t>KS28-PLA</t>
  </si>
  <si>
    <t>Removable front dolly on wheels for 1 x KS28</t>
  </si>
  <si>
    <t>KS28-COV</t>
  </si>
  <si>
    <t>Protective cover for 1 x KS28</t>
  </si>
  <si>
    <t>LA-RAK II AVB</t>
  </si>
  <si>
    <t>Touring rack AVB (9U with 3 LA12X/2 LS10 and signal and power distribution panels)</t>
  </si>
  <si>
    <t>CABLES</t>
  </si>
  <si>
    <t>DO.7</t>
  </si>
  <si>
    <t>Speaker cable: 8 x 4mm² CA-COM 0.7m length</t>
  </si>
  <si>
    <t>DO25</t>
  </si>
  <si>
    <t>Speaker cable: 8 x 4mm² CA-COM 25m length</t>
  </si>
  <si>
    <t>DOSUB-LA8</t>
  </si>
  <si>
    <t>Speaker cable breakout for passive enclosures CA-COM &gt; 4 NL-2 length 5m</t>
  </si>
  <si>
    <t>KARA II</t>
  </si>
  <si>
    <t>2-way active WST® enclosure: 2 x 8" LF + 3" HF diaphragm</t>
  </si>
  <si>
    <t>M-BUMP</t>
  </si>
  <si>
    <t>Bumper for flying or stacking KARA (II)/SB18</t>
  </si>
  <si>
    <t>M-BAR</t>
  </si>
  <si>
    <t>Extension bar for rigging frame</t>
  </si>
  <si>
    <t>DOFILL-LA8</t>
  </si>
  <si>
    <t>Speaker cable extension for active 2 way enclosures CA-COM &gt; 2 NL-4 length 3.5m</t>
  </si>
  <si>
    <t>SP.7</t>
  </si>
  <si>
    <t>Speaker cable: 4 x 4mm² NL4 0.7m length</t>
  </si>
  <si>
    <t>KARA II (12x4)</t>
  </si>
  <si>
    <t>LA12X CE</t>
  </si>
  <si>
    <t>Amplified controller 4 x 2600 W/4 Ohms CE mains connector</t>
  </si>
  <si>
    <t>LA-RAK II AVB EMPTY</t>
  </si>
  <si>
    <t>Touring rack AVB (without amplified controllers)</t>
  </si>
  <si>
    <t>KARA II - (12x8)</t>
  </si>
  <si>
    <t>OPTIONAL</t>
  </si>
  <si>
    <t xml:space="preserve">LA12X </t>
  </si>
  <si>
    <t>Touring rack AVB (9U with 2 LS10 and signal and power distribution panels)</t>
  </si>
  <si>
    <t>4 Channel Power Amplifier</t>
  </si>
  <si>
    <t xml:space="preserve">Nos </t>
  </si>
  <si>
    <t>K2 - (16x8)</t>
  </si>
  <si>
    <t>L2 - (2x2x8)</t>
  </si>
  <si>
    <t>L2</t>
  </si>
  <si>
    <t>16-channel active progressive curvature WST® 10°enclosure</t>
  </si>
  <si>
    <t>L2D</t>
  </si>
  <si>
    <t>16-channel active progressive curvature WST® 60°enclosure</t>
  </si>
  <si>
    <t>L2-CHARIOT</t>
  </si>
  <si>
    <t>Chariot for one L2</t>
  </si>
  <si>
    <t>L2-CHARIOTCOV</t>
  </si>
  <si>
    <t>Protective cover for 1 L2 on L2-CHARIOT</t>
  </si>
  <si>
    <t>L2-CHARIOTLID</t>
  </si>
  <si>
    <t>Protective lid for L2</t>
  </si>
  <si>
    <t>L2D-CHARIOT</t>
  </si>
  <si>
    <t>Chariot for one L2D</t>
  </si>
  <si>
    <t>L2D-CHARIOTCOV</t>
  </si>
  <si>
    <t>Protective cover for 1 L2D on L2D-CHARIOT</t>
  </si>
  <si>
    <t>L2D-CHARIOTLID</t>
  </si>
  <si>
    <t>Protective lid for L2D</t>
  </si>
  <si>
    <t>L2-BUMP</t>
  </si>
  <si>
    <t>Flying frame for L2 and L2D (includes BPCHAIN1.5T)</t>
  </si>
  <si>
    <t>L2-BAR</t>
  </si>
  <si>
    <t>Extension bar for L2-BUMP</t>
  </si>
  <si>
    <t>LA-RAKMOUNT</t>
  </si>
  <si>
    <t>Mounting cradles for 1 LA-RAK</t>
  </si>
  <si>
    <t>L2-LASERMOUNT</t>
  </si>
  <si>
    <t>Lasermount for L2 and L2D (compatible TEQSAS / SSE Prosight / Align Array / KSG)</t>
  </si>
  <si>
    <t>L2-RIGBAR</t>
  </si>
  <si>
    <t>Rigging bar and pullback for L2 and L2D</t>
  </si>
  <si>
    <t>L2-BUMPFLIGHT</t>
  </si>
  <si>
    <t>Modular flight case for 1 L2-BUMP and rigging elements</t>
  </si>
  <si>
    <t>L2-ROLL</t>
  </si>
  <si>
    <t>Lift and roll accessory for L2 and L2D (to be used with L2-RIGBAR)</t>
  </si>
  <si>
    <t>K2-JACK</t>
  </si>
  <si>
    <t>4 tilt adjustment screw jacks + bar for K2-CHARIOT</t>
  </si>
  <si>
    <t>LA-RAK III EMPTY</t>
  </si>
  <si>
    <t>Touring rack III (without amplified controllers)</t>
  </si>
  <si>
    <t>LA7.16 CE</t>
  </si>
  <si>
    <t>Amplified controller 16  x 1300 W / 8 Ohms. CE version</t>
  </si>
  <si>
    <t>POW2</t>
  </si>
  <si>
    <t>32A Power Link 2m</t>
  </si>
  <si>
    <t>P1 CE</t>
  </si>
  <si>
    <t>Digital audio processor and measurement platform: 20 x 18 mic/line AES/EBU and AVB. CE version.</t>
  </si>
  <si>
    <t>SC32-25</t>
  </si>
  <si>
    <t>Speaker cable: 32 x 1.5mm² 25m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</si>
</sst>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dd/mmm/yyyy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64" fontId="4" fillId="2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left" wrapText="1"/>
    </xf>
    <xf numFmtId="0" fontId="6" fillId="0" borderId="9" xfId="0" applyFont="1" applyBorder="1"/>
    <xf numFmtId="0" fontId="6" fillId="0" borderId="4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2" fillId="0" borderId="0" xfId="0" applyFont="1"/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164" fontId="4" fillId="0" borderId="13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64" fontId="6" fillId="0" borderId="0" xfId="0" applyNumberFormat="1" applyFont="1"/>
    <xf numFmtId="0" fontId="6" fillId="0" borderId="0" xfId="0" applyFont="1" applyAlignment="1">
      <alignment horizontal="center"/>
    </xf>
    <xf numFmtId="164" fontId="4" fillId="0" borderId="3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4555-674F-40AD-A375-1A98E595659B}">
  <sheetPr>
    <pageSetUpPr fitToPage="1"/>
  </sheetPr>
  <dimension ref="A1:H24"/>
  <sheetViews>
    <sheetView topLeftCell="A16" zoomScaleNormal="100" zoomScalePageLayoutView="85" workbookViewId="0"/>
  </sheetViews>
  <sheetFormatPr defaultColWidth="9" defaultRowHeight="15" x14ac:dyDescent="0.25"/>
  <cols>
    <col min="1" max="1" width="6.5703125" style="13" customWidth="1"/>
    <col min="2" max="2" width="14.5703125" style="13" customWidth="1"/>
    <col min="3" max="3" width="20.28515625" style="13" customWidth="1"/>
    <col min="4" max="4" width="47.28515625" style="13" customWidth="1"/>
    <col min="5" max="5" width="5.7109375" style="13" customWidth="1"/>
    <col min="6" max="6" width="6" style="13" customWidth="1"/>
    <col min="7" max="7" width="18.28515625" style="13" customWidth="1"/>
    <col min="8" max="8" width="19.28515625" style="13" customWidth="1"/>
    <col min="9" max="16384" width="9" style="13"/>
  </cols>
  <sheetData>
    <row r="1" spans="1:8" ht="54" x14ac:dyDescent="0.25">
      <c r="C1" s="14"/>
      <c r="D1" s="15"/>
      <c r="H1" s="7" t="s">
        <v>59</v>
      </c>
    </row>
    <row r="2" spans="1:8" ht="15.75" customHeight="1" x14ac:dyDescent="0.25">
      <c r="C2" s="14"/>
      <c r="D2" s="15"/>
      <c r="E2" s="37"/>
      <c r="G2" s="1" t="s">
        <v>0</v>
      </c>
      <c r="H2" s="16">
        <v>46162</v>
      </c>
    </row>
    <row r="3" spans="1:8" ht="20.25" customHeight="1" x14ac:dyDescent="0.25">
      <c r="A3" s="2"/>
      <c r="C3" s="4"/>
      <c r="D3" s="4"/>
      <c r="E3" s="3"/>
      <c r="F3" s="37"/>
      <c r="G3" s="36"/>
      <c r="H3" s="36"/>
    </row>
    <row r="4" spans="1:8" ht="7.5" customHeight="1" thickBot="1" x14ac:dyDescent="0.3">
      <c r="A4" s="2"/>
      <c r="B4" s="2"/>
      <c r="C4" s="17"/>
      <c r="D4" s="4"/>
      <c r="E4" s="3"/>
      <c r="F4" s="37"/>
      <c r="G4" s="36"/>
      <c r="H4" s="36"/>
    </row>
    <row r="5" spans="1:8" ht="17.25" x14ac:dyDescent="0.25">
      <c r="A5" s="9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1" t="s">
        <v>16</v>
      </c>
    </row>
    <row r="6" spans="1:8" ht="18.75" x14ac:dyDescent="0.25">
      <c r="A6" s="18"/>
      <c r="B6" s="19"/>
      <c r="C6" s="40" t="s">
        <v>1</v>
      </c>
      <c r="D6" s="40"/>
      <c r="E6" s="41"/>
      <c r="F6" s="41"/>
      <c r="G6" s="41"/>
      <c r="H6" s="42"/>
    </row>
    <row r="7" spans="1:8" ht="32.25" customHeight="1" x14ac:dyDescent="0.25">
      <c r="A7" s="12">
        <v>1</v>
      </c>
      <c r="B7" s="6" t="s">
        <v>2</v>
      </c>
      <c r="C7" s="20" t="s">
        <v>17</v>
      </c>
      <c r="D7" s="21" t="s">
        <v>18</v>
      </c>
      <c r="E7" s="6">
        <v>16</v>
      </c>
      <c r="F7" s="6" t="s">
        <v>3</v>
      </c>
      <c r="G7" s="22">
        <v>1537400</v>
      </c>
      <c r="H7" s="23">
        <f t="shared" ref="H7:H20" si="0">E7*G7</f>
        <v>24598400</v>
      </c>
    </row>
    <row r="8" spans="1:8" ht="32.25" customHeight="1" x14ac:dyDescent="0.25">
      <c r="A8" s="12">
        <v>2</v>
      </c>
      <c r="B8" s="6" t="s">
        <v>2</v>
      </c>
      <c r="C8" s="20" t="s">
        <v>19</v>
      </c>
      <c r="D8" s="21" t="s">
        <v>20</v>
      </c>
      <c r="E8" s="6">
        <v>2</v>
      </c>
      <c r="F8" s="6" t="s">
        <v>3</v>
      </c>
      <c r="G8" s="22">
        <v>353800</v>
      </c>
      <c r="H8" s="23">
        <f t="shared" si="0"/>
        <v>707600</v>
      </c>
    </row>
    <row r="9" spans="1:8" ht="32.25" customHeight="1" x14ac:dyDescent="0.25">
      <c r="A9" s="12">
        <v>3</v>
      </c>
      <c r="B9" s="6" t="s">
        <v>2</v>
      </c>
      <c r="C9" s="20" t="s">
        <v>21</v>
      </c>
      <c r="D9" s="21" t="s">
        <v>22</v>
      </c>
      <c r="E9" s="6">
        <v>2</v>
      </c>
      <c r="F9" s="6" t="s">
        <v>3</v>
      </c>
      <c r="G9" s="22">
        <v>136600</v>
      </c>
      <c r="H9" s="23">
        <f t="shared" si="0"/>
        <v>273200</v>
      </c>
    </row>
    <row r="10" spans="1:8" ht="18.75" x14ac:dyDescent="0.25">
      <c r="A10" s="24"/>
      <c r="B10" s="25"/>
      <c r="C10" s="40" t="s">
        <v>4</v>
      </c>
      <c r="D10" s="40"/>
      <c r="E10" s="26"/>
      <c r="F10" s="27"/>
      <c r="G10" s="38"/>
      <c r="H10" s="28"/>
    </row>
    <row r="11" spans="1:8" s="29" customFormat="1" ht="32.25" customHeight="1" x14ac:dyDescent="0.3">
      <c r="A11" s="12">
        <v>4</v>
      </c>
      <c r="B11" s="6" t="s">
        <v>2</v>
      </c>
      <c r="C11" s="20" t="s">
        <v>23</v>
      </c>
      <c r="D11" s="21" t="s">
        <v>24</v>
      </c>
      <c r="E11" s="6">
        <v>8</v>
      </c>
      <c r="F11" s="6" t="s">
        <v>3</v>
      </c>
      <c r="G11" s="22">
        <v>892700</v>
      </c>
      <c r="H11" s="23">
        <f t="shared" si="0"/>
        <v>7141600</v>
      </c>
    </row>
    <row r="12" spans="1:8" s="29" customFormat="1" ht="32.25" customHeight="1" x14ac:dyDescent="0.3">
      <c r="A12" s="12">
        <v>5</v>
      </c>
      <c r="B12" s="6" t="s">
        <v>2</v>
      </c>
      <c r="C12" s="20" t="s">
        <v>25</v>
      </c>
      <c r="D12" s="21" t="s">
        <v>26</v>
      </c>
      <c r="E12" s="6">
        <v>8</v>
      </c>
      <c r="F12" s="6" t="s">
        <v>3</v>
      </c>
      <c r="G12" s="22">
        <v>52200</v>
      </c>
      <c r="H12" s="23">
        <f t="shared" si="0"/>
        <v>417600</v>
      </c>
    </row>
    <row r="13" spans="1:8" s="29" customFormat="1" ht="32.25" customHeight="1" x14ac:dyDescent="0.3">
      <c r="A13" s="12">
        <v>6</v>
      </c>
      <c r="B13" s="6" t="s">
        <v>2</v>
      </c>
      <c r="C13" s="20" t="s">
        <v>27</v>
      </c>
      <c r="D13" s="21" t="s">
        <v>28</v>
      </c>
      <c r="E13" s="6">
        <v>8</v>
      </c>
      <c r="F13" s="6" t="s">
        <v>3</v>
      </c>
      <c r="G13" s="22">
        <v>75900</v>
      </c>
      <c r="H13" s="8" t="s">
        <v>54</v>
      </c>
    </row>
    <row r="14" spans="1:8" ht="18.75" x14ac:dyDescent="0.25">
      <c r="A14" s="24"/>
      <c r="B14" s="25"/>
      <c r="C14" s="40" t="s">
        <v>5</v>
      </c>
      <c r="D14" s="40"/>
      <c r="E14" s="26"/>
      <c r="F14" s="27"/>
      <c r="G14" s="38"/>
      <c r="H14" s="28"/>
    </row>
    <row r="15" spans="1:8" s="29" customFormat="1" ht="34.5" x14ac:dyDescent="0.3">
      <c r="A15" s="6">
        <v>7</v>
      </c>
      <c r="B15" s="6" t="s">
        <v>2</v>
      </c>
      <c r="C15" s="20" t="s">
        <v>51</v>
      </c>
      <c r="D15" s="21" t="s">
        <v>56</v>
      </c>
      <c r="E15" s="6">
        <v>3</v>
      </c>
      <c r="F15" s="6" t="s">
        <v>3</v>
      </c>
      <c r="G15" s="22">
        <v>1147600</v>
      </c>
      <c r="H15" s="22">
        <f t="shared" si="0"/>
        <v>3442800</v>
      </c>
    </row>
    <row r="16" spans="1:8" s="29" customFormat="1" ht="18.75" x14ac:dyDescent="0.3">
      <c r="A16" s="6">
        <v>8</v>
      </c>
      <c r="B16" s="6" t="s">
        <v>2</v>
      </c>
      <c r="C16" s="20" t="s">
        <v>55</v>
      </c>
      <c r="D16" s="21" t="s">
        <v>57</v>
      </c>
      <c r="E16" s="6">
        <v>8</v>
      </c>
      <c r="F16" s="6" t="s">
        <v>58</v>
      </c>
      <c r="G16" s="22">
        <v>1346700</v>
      </c>
      <c r="H16" s="22">
        <f>G16*E16</f>
        <v>10773600</v>
      </c>
    </row>
    <row r="17" spans="1:8" ht="18.75" x14ac:dyDescent="0.25">
      <c r="A17" s="24"/>
      <c r="B17" s="25"/>
      <c r="C17" s="40" t="s">
        <v>31</v>
      </c>
      <c r="D17" s="40"/>
      <c r="E17" s="26"/>
      <c r="F17" s="27"/>
      <c r="G17" s="38"/>
      <c r="H17" s="28"/>
    </row>
    <row r="18" spans="1:8" s="29" customFormat="1" ht="32.25" customHeight="1" x14ac:dyDescent="0.3">
      <c r="A18" s="12">
        <v>9</v>
      </c>
      <c r="B18" s="6" t="s">
        <v>2</v>
      </c>
      <c r="C18" s="20" t="s">
        <v>32</v>
      </c>
      <c r="D18" s="21" t="s">
        <v>33</v>
      </c>
      <c r="E18" s="6">
        <v>10</v>
      </c>
      <c r="F18" s="6" t="s">
        <v>3</v>
      </c>
      <c r="G18" s="22">
        <v>34600</v>
      </c>
      <c r="H18" s="23">
        <f t="shared" si="0"/>
        <v>346000</v>
      </c>
    </row>
    <row r="19" spans="1:8" s="29" customFormat="1" ht="32.25" customHeight="1" x14ac:dyDescent="0.3">
      <c r="A19" s="12">
        <v>10</v>
      </c>
      <c r="B19" s="6" t="s">
        <v>2</v>
      </c>
      <c r="C19" s="20" t="s">
        <v>34</v>
      </c>
      <c r="D19" s="21" t="s">
        <v>35</v>
      </c>
      <c r="E19" s="6">
        <v>8</v>
      </c>
      <c r="F19" s="6" t="s">
        <v>3</v>
      </c>
      <c r="G19" s="22">
        <v>74900</v>
      </c>
      <c r="H19" s="23">
        <f t="shared" si="0"/>
        <v>599200</v>
      </c>
    </row>
    <row r="20" spans="1:8" s="29" customFormat="1" ht="32.25" customHeight="1" thickBot="1" x14ac:dyDescent="0.35">
      <c r="A20" s="30">
        <v>11</v>
      </c>
      <c r="B20" s="31" t="s">
        <v>2</v>
      </c>
      <c r="C20" s="32" t="s">
        <v>36</v>
      </c>
      <c r="D20" s="33" t="s">
        <v>37</v>
      </c>
      <c r="E20" s="31">
        <v>2</v>
      </c>
      <c r="F20" s="31" t="s">
        <v>3</v>
      </c>
      <c r="G20" s="34">
        <v>39700</v>
      </c>
      <c r="H20" s="35">
        <f t="shared" si="0"/>
        <v>79400</v>
      </c>
    </row>
    <row r="21" spans="1:8" ht="6.75" customHeight="1" x14ac:dyDescent="0.25"/>
    <row r="22" spans="1:8" ht="21" x14ac:dyDescent="0.25">
      <c r="F22" s="5" t="s">
        <v>6</v>
      </c>
      <c r="G22" s="39">
        <f>SUM(H7:H20)</f>
        <v>48379400</v>
      </c>
      <c r="H22" s="39"/>
    </row>
    <row r="23" spans="1:8" ht="21" x14ac:dyDescent="0.25">
      <c r="F23" s="5" t="s">
        <v>7</v>
      </c>
      <c r="G23" s="39">
        <f>G22*18%</f>
        <v>8708292</v>
      </c>
      <c r="H23" s="39"/>
    </row>
    <row r="24" spans="1:8" ht="21" x14ac:dyDescent="0.25">
      <c r="F24" s="5" t="s">
        <v>8</v>
      </c>
      <c r="G24" s="39">
        <f>SUM(G22:H23)</f>
        <v>57087692</v>
      </c>
      <c r="H24" s="39"/>
    </row>
  </sheetData>
  <mergeCells count="8">
    <mergeCell ref="G22:H22"/>
    <mergeCell ref="G23:H23"/>
    <mergeCell ref="G24:H24"/>
    <mergeCell ref="C6:D6"/>
    <mergeCell ref="E6:H6"/>
    <mergeCell ref="C10:D10"/>
    <mergeCell ref="C14:D14"/>
    <mergeCell ref="C17:D17"/>
  </mergeCells>
  <pageMargins left="0.25" right="0.25" top="0.75" bottom="0.79522058823529407" header="0.3" footer="0.3"/>
  <pageSetup paperSize="9" scale="84" fitToHeight="0" orientation="landscape" horizontalDpi="300" verticalDpi="300" r:id="rId1"/>
  <headerFooter>
    <oddHeader>&amp;L&amp;G</oddHeader>
    <oddFooter>&amp;C&amp;G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1979-0FA8-4D86-BA18-CA48FC7B7DFE}">
  <sheetPr>
    <pageSetUpPr fitToPage="1"/>
  </sheetPr>
  <dimension ref="A1:K24"/>
  <sheetViews>
    <sheetView zoomScale="106" zoomScaleNormal="70" zoomScalePageLayoutView="85" workbookViewId="0"/>
  </sheetViews>
  <sheetFormatPr defaultColWidth="9" defaultRowHeight="15" x14ac:dyDescent="0.25"/>
  <cols>
    <col min="1" max="1" width="6.5703125" style="13" customWidth="1"/>
    <col min="2" max="2" width="14.5703125" style="13" customWidth="1"/>
    <col min="3" max="3" width="20.28515625" style="13" customWidth="1"/>
    <col min="4" max="4" width="47.28515625" style="13" customWidth="1"/>
    <col min="5" max="5" width="5.7109375" style="13" customWidth="1"/>
    <col min="6" max="6" width="6" style="13" customWidth="1"/>
    <col min="7" max="7" width="18.28515625" style="13" customWidth="1"/>
    <col min="8" max="8" width="19.28515625" style="13" customWidth="1"/>
    <col min="9" max="16384" width="9" style="13"/>
  </cols>
  <sheetData>
    <row r="1" spans="1:11" ht="54" x14ac:dyDescent="0.25">
      <c r="C1" s="14"/>
      <c r="D1" s="15"/>
      <c r="H1" s="7" t="s">
        <v>48</v>
      </c>
      <c r="I1" s="7"/>
      <c r="J1" s="7"/>
      <c r="K1" s="7"/>
    </row>
    <row r="2" spans="1:11" ht="15.75" customHeight="1" x14ac:dyDescent="0.25">
      <c r="C2" s="14"/>
      <c r="D2" s="15"/>
      <c r="E2" s="37"/>
      <c r="G2" s="1" t="s">
        <v>0</v>
      </c>
      <c r="H2" s="16">
        <v>46162</v>
      </c>
    </row>
    <row r="3" spans="1:11" ht="20.25" customHeight="1" x14ac:dyDescent="0.25">
      <c r="A3" s="2"/>
      <c r="C3" s="4"/>
      <c r="D3" s="4"/>
      <c r="E3" s="3"/>
      <c r="F3" s="37"/>
      <c r="G3" s="36"/>
      <c r="H3" s="36"/>
    </row>
    <row r="4" spans="1:11" ht="6" customHeight="1" thickBot="1" x14ac:dyDescent="0.3">
      <c r="A4" s="2"/>
      <c r="B4" s="2"/>
      <c r="C4" s="17"/>
      <c r="D4" s="4"/>
      <c r="E4" s="3"/>
      <c r="F4" s="37"/>
      <c r="G4" s="36"/>
      <c r="H4" s="36"/>
    </row>
    <row r="5" spans="1:11" ht="15" customHeight="1" x14ac:dyDescent="0.25">
      <c r="A5" s="9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1" t="s">
        <v>16</v>
      </c>
    </row>
    <row r="6" spans="1:11" ht="15" customHeight="1" x14ac:dyDescent="0.25">
      <c r="A6" s="18"/>
      <c r="B6" s="19"/>
      <c r="C6" s="40" t="s">
        <v>1</v>
      </c>
      <c r="D6" s="40"/>
      <c r="E6" s="41"/>
      <c r="F6" s="41"/>
      <c r="G6" s="41"/>
      <c r="H6" s="42"/>
    </row>
    <row r="7" spans="1:11" ht="31.5" customHeight="1" x14ac:dyDescent="0.25">
      <c r="A7" s="12">
        <v>1</v>
      </c>
      <c r="B7" s="6" t="s">
        <v>2</v>
      </c>
      <c r="C7" s="20" t="s">
        <v>38</v>
      </c>
      <c r="D7" s="21" t="s">
        <v>39</v>
      </c>
      <c r="E7" s="6">
        <v>12</v>
      </c>
      <c r="F7" s="6" t="s">
        <v>3</v>
      </c>
      <c r="G7" s="22">
        <v>724000</v>
      </c>
      <c r="H7" s="23">
        <f t="shared" ref="H7:H20" si="0">E7*G7</f>
        <v>8688000</v>
      </c>
    </row>
    <row r="8" spans="1:11" ht="31.5" customHeight="1" x14ac:dyDescent="0.25">
      <c r="A8" s="12">
        <v>2</v>
      </c>
      <c r="B8" s="6" t="s">
        <v>2</v>
      </c>
      <c r="C8" s="20" t="s">
        <v>40</v>
      </c>
      <c r="D8" s="21" t="s">
        <v>41</v>
      </c>
      <c r="E8" s="6">
        <v>2</v>
      </c>
      <c r="F8" s="6" t="s">
        <v>3</v>
      </c>
      <c r="G8" s="22">
        <v>256100</v>
      </c>
      <c r="H8" s="23">
        <f t="shared" si="0"/>
        <v>512200</v>
      </c>
    </row>
    <row r="9" spans="1:11" ht="31.5" customHeight="1" x14ac:dyDescent="0.25">
      <c r="A9" s="12">
        <v>3</v>
      </c>
      <c r="B9" s="6" t="s">
        <v>2</v>
      </c>
      <c r="C9" s="20" t="s">
        <v>42</v>
      </c>
      <c r="D9" s="21" t="s">
        <v>43</v>
      </c>
      <c r="E9" s="6">
        <v>2</v>
      </c>
      <c r="F9" s="6" t="s">
        <v>3</v>
      </c>
      <c r="G9" s="22">
        <v>71100</v>
      </c>
      <c r="H9" s="23">
        <f t="shared" si="0"/>
        <v>142200</v>
      </c>
    </row>
    <row r="10" spans="1:11" ht="15" customHeight="1" x14ac:dyDescent="0.25">
      <c r="A10" s="24"/>
      <c r="B10" s="25"/>
      <c r="C10" s="40" t="s">
        <v>4</v>
      </c>
      <c r="D10" s="40"/>
      <c r="E10" s="26"/>
      <c r="F10" s="27"/>
      <c r="G10" s="38"/>
      <c r="H10" s="28"/>
    </row>
    <row r="11" spans="1:11" s="29" customFormat="1" ht="31.5" customHeight="1" x14ac:dyDescent="0.3">
      <c r="A11" s="12">
        <v>4</v>
      </c>
      <c r="B11" s="6" t="s">
        <v>2</v>
      </c>
      <c r="C11" s="20" t="s">
        <v>23</v>
      </c>
      <c r="D11" s="21" t="s">
        <v>24</v>
      </c>
      <c r="E11" s="6">
        <v>4</v>
      </c>
      <c r="F11" s="6" t="s">
        <v>3</v>
      </c>
      <c r="G11" s="22">
        <v>892700</v>
      </c>
      <c r="H11" s="23">
        <f t="shared" si="0"/>
        <v>3570800</v>
      </c>
    </row>
    <row r="12" spans="1:11" s="29" customFormat="1" ht="31.5" customHeight="1" x14ac:dyDescent="0.3">
      <c r="A12" s="12">
        <v>5</v>
      </c>
      <c r="B12" s="6" t="s">
        <v>2</v>
      </c>
      <c r="C12" s="20" t="s">
        <v>25</v>
      </c>
      <c r="D12" s="21" t="s">
        <v>26</v>
      </c>
      <c r="E12" s="6">
        <v>4</v>
      </c>
      <c r="F12" s="6" t="s">
        <v>3</v>
      </c>
      <c r="G12" s="22">
        <v>52200</v>
      </c>
      <c r="H12" s="23">
        <f t="shared" si="0"/>
        <v>208800</v>
      </c>
    </row>
    <row r="13" spans="1:11" s="29" customFormat="1" ht="31.5" customHeight="1" x14ac:dyDescent="0.3">
      <c r="A13" s="12">
        <v>6</v>
      </c>
      <c r="B13" s="6" t="s">
        <v>2</v>
      </c>
      <c r="C13" s="20" t="s">
        <v>27</v>
      </c>
      <c r="D13" s="21" t="s">
        <v>28</v>
      </c>
      <c r="E13" s="6">
        <v>4</v>
      </c>
      <c r="F13" s="6" t="s">
        <v>3</v>
      </c>
      <c r="G13" s="22">
        <v>75900</v>
      </c>
      <c r="H13" s="8" t="s">
        <v>54</v>
      </c>
    </row>
    <row r="14" spans="1:11" ht="15" customHeight="1" x14ac:dyDescent="0.25">
      <c r="A14" s="24"/>
      <c r="B14" s="25"/>
      <c r="C14" s="40" t="s">
        <v>5</v>
      </c>
      <c r="D14" s="40"/>
      <c r="E14" s="26"/>
      <c r="F14" s="27"/>
      <c r="G14" s="38"/>
      <c r="H14" s="28"/>
    </row>
    <row r="15" spans="1:11" s="29" customFormat="1" ht="31.5" customHeight="1" x14ac:dyDescent="0.3">
      <c r="A15" s="12">
        <v>7</v>
      </c>
      <c r="B15" s="6" t="s">
        <v>2</v>
      </c>
      <c r="C15" s="20" t="s">
        <v>29</v>
      </c>
      <c r="D15" s="21" t="s">
        <v>30</v>
      </c>
      <c r="E15" s="6">
        <v>1</v>
      </c>
      <c r="F15" s="6" t="s">
        <v>3</v>
      </c>
      <c r="G15" s="22">
        <v>5187800</v>
      </c>
      <c r="H15" s="23">
        <f t="shared" si="0"/>
        <v>5187800</v>
      </c>
    </row>
    <row r="16" spans="1:11" ht="15" customHeight="1" x14ac:dyDescent="0.25">
      <c r="A16" s="24"/>
      <c r="B16" s="25"/>
      <c r="C16" s="40" t="s">
        <v>31</v>
      </c>
      <c r="D16" s="40"/>
      <c r="E16" s="26"/>
      <c r="F16" s="27"/>
      <c r="G16" s="38"/>
      <c r="H16" s="28"/>
    </row>
    <row r="17" spans="1:8" s="29" customFormat="1" ht="31.5" customHeight="1" x14ac:dyDescent="0.3">
      <c r="A17" s="12">
        <v>8</v>
      </c>
      <c r="B17" s="6" t="s">
        <v>2</v>
      </c>
      <c r="C17" s="20" t="s">
        <v>34</v>
      </c>
      <c r="D17" s="21" t="s">
        <v>35</v>
      </c>
      <c r="E17" s="6">
        <v>3</v>
      </c>
      <c r="F17" s="6" t="s">
        <v>3</v>
      </c>
      <c r="G17" s="22">
        <v>74900</v>
      </c>
      <c r="H17" s="23">
        <f t="shared" si="0"/>
        <v>224700</v>
      </c>
    </row>
    <row r="18" spans="1:8" s="29" customFormat="1" ht="31.5" customHeight="1" x14ac:dyDescent="0.3">
      <c r="A18" s="12">
        <v>9</v>
      </c>
      <c r="B18" s="6" t="s">
        <v>2</v>
      </c>
      <c r="C18" s="20" t="s">
        <v>44</v>
      </c>
      <c r="D18" s="21" t="s">
        <v>45</v>
      </c>
      <c r="E18" s="6">
        <v>2</v>
      </c>
      <c r="F18" s="6" t="s">
        <v>3</v>
      </c>
      <c r="G18" s="22">
        <v>35900</v>
      </c>
      <c r="H18" s="23">
        <f t="shared" si="0"/>
        <v>71800</v>
      </c>
    </row>
    <row r="19" spans="1:8" s="29" customFormat="1" ht="31.5" customHeight="1" x14ac:dyDescent="0.3">
      <c r="A19" s="12">
        <v>10</v>
      </c>
      <c r="B19" s="6" t="s">
        <v>2</v>
      </c>
      <c r="C19" s="20" t="s">
        <v>46</v>
      </c>
      <c r="D19" s="21" t="s">
        <v>47</v>
      </c>
      <c r="E19" s="6">
        <v>8</v>
      </c>
      <c r="F19" s="6" t="s">
        <v>3</v>
      </c>
      <c r="G19" s="22">
        <v>5400</v>
      </c>
      <c r="H19" s="23">
        <f t="shared" si="0"/>
        <v>43200</v>
      </c>
    </row>
    <row r="20" spans="1:8" s="29" customFormat="1" ht="31.5" customHeight="1" thickBot="1" x14ac:dyDescent="0.35">
      <c r="A20" s="30">
        <v>11</v>
      </c>
      <c r="B20" s="31" t="s">
        <v>2</v>
      </c>
      <c r="C20" s="32" t="s">
        <v>36</v>
      </c>
      <c r="D20" s="33" t="s">
        <v>37</v>
      </c>
      <c r="E20" s="31">
        <v>1</v>
      </c>
      <c r="F20" s="31" t="s">
        <v>3</v>
      </c>
      <c r="G20" s="34">
        <v>39700</v>
      </c>
      <c r="H20" s="35">
        <f t="shared" si="0"/>
        <v>39700</v>
      </c>
    </row>
    <row r="21" spans="1:8" ht="6" customHeight="1" x14ac:dyDescent="0.25"/>
    <row r="22" spans="1:8" ht="21" x14ac:dyDescent="0.25">
      <c r="F22" s="5" t="s">
        <v>6</v>
      </c>
      <c r="G22" s="39">
        <f>SUM(H7:H20)</f>
        <v>18689200</v>
      </c>
      <c r="H22" s="39"/>
    </row>
    <row r="23" spans="1:8" ht="21" x14ac:dyDescent="0.25">
      <c r="F23" s="5" t="s">
        <v>7</v>
      </c>
      <c r="G23" s="39">
        <f>G22*18%</f>
        <v>3364056</v>
      </c>
      <c r="H23" s="39"/>
    </row>
    <row r="24" spans="1:8" ht="21" x14ac:dyDescent="0.25">
      <c r="F24" s="5" t="s">
        <v>8</v>
      </c>
      <c r="G24" s="39">
        <f>SUM(G22:H23)</f>
        <v>22053256</v>
      </c>
      <c r="H24" s="39"/>
    </row>
  </sheetData>
  <mergeCells count="8">
    <mergeCell ref="G22:H22"/>
    <mergeCell ref="G23:H23"/>
    <mergeCell ref="G24:H24"/>
    <mergeCell ref="C6:D6"/>
    <mergeCell ref="E6:H6"/>
    <mergeCell ref="C10:D10"/>
    <mergeCell ref="C14:D14"/>
    <mergeCell ref="C16:D16"/>
  </mergeCells>
  <pageMargins left="0.25" right="0.25" top="0.75" bottom="0.79522058823529407" header="0.3" footer="0.3"/>
  <pageSetup paperSize="9" scale="84" fitToHeight="0" orientation="landscape" horizontalDpi="300" verticalDpi="300" r:id="rId1"/>
  <headerFooter>
    <oddHeader>&amp;L&amp;G</oddHead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16DF-5A41-4B27-B37F-BDA0CC9A425F}">
  <sheetPr>
    <pageSetUpPr fitToPage="1"/>
  </sheetPr>
  <dimension ref="A1:K25"/>
  <sheetViews>
    <sheetView zoomScale="106" zoomScaleNormal="70" zoomScalePageLayoutView="85" workbookViewId="0"/>
  </sheetViews>
  <sheetFormatPr defaultColWidth="9" defaultRowHeight="15" x14ac:dyDescent="0.25"/>
  <cols>
    <col min="1" max="1" width="6.5703125" style="13" customWidth="1"/>
    <col min="2" max="2" width="14.5703125" style="13" customWidth="1"/>
    <col min="3" max="3" width="20.28515625" style="13" customWidth="1"/>
    <col min="4" max="4" width="47.28515625" style="13" customWidth="1"/>
    <col min="5" max="5" width="5.7109375" style="13" customWidth="1"/>
    <col min="6" max="6" width="6" style="13" customWidth="1"/>
    <col min="7" max="7" width="18.28515625" style="13" customWidth="1"/>
    <col min="8" max="8" width="19.28515625" style="13" customWidth="1"/>
    <col min="9" max="16384" width="9" style="13"/>
  </cols>
  <sheetData>
    <row r="1" spans="1:11" ht="54" x14ac:dyDescent="0.25">
      <c r="C1" s="14"/>
      <c r="D1" s="15"/>
      <c r="H1" s="7" t="s">
        <v>53</v>
      </c>
      <c r="I1" s="7"/>
      <c r="J1" s="7"/>
      <c r="K1" s="7"/>
    </row>
    <row r="2" spans="1:11" ht="15.75" customHeight="1" x14ac:dyDescent="0.25">
      <c r="C2" s="14"/>
      <c r="D2" s="15"/>
      <c r="E2" s="37"/>
      <c r="G2" s="1" t="s">
        <v>0</v>
      </c>
      <c r="H2" s="16">
        <v>46162</v>
      </c>
    </row>
    <row r="3" spans="1:11" ht="20.25" customHeight="1" x14ac:dyDescent="0.25">
      <c r="A3" s="2"/>
      <c r="C3" s="4"/>
      <c r="D3" s="4"/>
      <c r="E3" s="3"/>
      <c r="F3" s="37"/>
      <c r="G3" s="36"/>
      <c r="H3" s="36"/>
    </row>
    <row r="4" spans="1:11" ht="6" customHeight="1" thickBot="1" x14ac:dyDescent="0.3">
      <c r="A4" s="2"/>
      <c r="B4" s="2"/>
      <c r="C4" s="17"/>
      <c r="D4" s="4"/>
      <c r="E4" s="3"/>
      <c r="F4" s="37"/>
      <c r="G4" s="36"/>
      <c r="H4" s="36"/>
    </row>
    <row r="5" spans="1:11" ht="15" customHeight="1" x14ac:dyDescent="0.25">
      <c r="A5" s="9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1" t="s">
        <v>16</v>
      </c>
    </row>
    <row r="6" spans="1:11" ht="15" customHeight="1" x14ac:dyDescent="0.25">
      <c r="A6" s="18"/>
      <c r="B6" s="19"/>
      <c r="C6" s="40" t="s">
        <v>1</v>
      </c>
      <c r="D6" s="40"/>
      <c r="E6" s="41"/>
      <c r="F6" s="41"/>
      <c r="G6" s="41"/>
      <c r="H6" s="42"/>
    </row>
    <row r="7" spans="1:11" ht="31.5" customHeight="1" x14ac:dyDescent="0.25">
      <c r="A7" s="12">
        <v>1</v>
      </c>
      <c r="B7" s="6" t="s">
        <v>2</v>
      </c>
      <c r="C7" s="20" t="s">
        <v>38</v>
      </c>
      <c r="D7" s="21" t="s">
        <v>39</v>
      </c>
      <c r="E7" s="6">
        <v>12</v>
      </c>
      <c r="F7" s="6" t="s">
        <v>3</v>
      </c>
      <c r="G7" s="22">
        <v>724000</v>
      </c>
      <c r="H7" s="23">
        <f t="shared" ref="H7:H21" si="0">E7*G7</f>
        <v>8688000</v>
      </c>
    </row>
    <row r="8" spans="1:11" ht="31.5" customHeight="1" x14ac:dyDescent="0.25">
      <c r="A8" s="12">
        <v>2</v>
      </c>
      <c r="B8" s="6" t="s">
        <v>2</v>
      </c>
      <c r="C8" s="20" t="s">
        <v>40</v>
      </c>
      <c r="D8" s="21" t="s">
        <v>41</v>
      </c>
      <c r="E8" s="6">
        <v>2</v>
      </c>
      <c r="F8" s="6" t="s">
        <v>3</v>
      </c>
      <c r="G8" s="22">
        <v>256100</v>
      </c>
      <c r="H8" s="23">
        <f t="shared" si="0"/>
        <v>512200</v>
      </c>
    </row>
    <row r="9" spans="1:11" ht="31.5" customHeight="1" x14ac:dyDescent="0.25">
      <c r="A9" s="12">
        <v>3</v>
      </c>
      <c r="B9" s="6" t="s">
        <v>2</v>
      </c>
      <c r="C9" s="20" t="s">
        <v>42</v>
      </c>
      <c r="D9" s="21" t="s">
        <v>43</v>
      </c>
      <c r="E9" s="6">
        <v>2</v>
      </c>
      <c r="F9" s="6" t="s">
        <v>3</v>
      </c>
      <c r="G9" s="22">
        <v>71100</v>
      </c>
      <c r="H9" s="23">
        <f t="shared" si="0"/>
        <v>142200</v>
      </c>
    </row>
    <row r="10" spans="1:11" ht="15" customHeight="1" x14ac:dyDescent="0.25">
      <c r="A10" s="24"/>
      <c r="B10" s="25"/>
      <c r="C10" s="40" t="s">
        <v>4</v>
      </c>
      <c r="D10" s="40"/>
      <c r="E10" s="26"/>
      <c r="F10" s="27"/>
      <c r="G10" s="38"/>
      <c r="H10" s="28"/>
    </row>
    <row r="11" spans="1:11" s="29" customFormat="1" ht="31.5" customHeight="1" x14ac:dyDescent="0.3">
      <c r="A11" s="12">
        <v>4</v>
      </c>
      <c r="B11" s="6" t="s">
        <v>2</v>
      </c>
      <c r="C11" s="20" t="s">
        <v>23</v>
      </c>
      <c r="D11" s="21" t="s">
        <v>24</v>
      </c>
      <c r="E11" s="6">
        <v>8</v>
      </c>
      <c r="F11" s="6" t="s">
        <v>3</v>
      </c>
      <c r="G11" s="22">
        <v>892700</v>
      </c>
      <c r="H11" s="23">
        <f t="shared" si="0"/>
        <v>7141600</v>
      </c>
    </row>
    <row r="12" spans="1:11" s="29" customFormat="1" ht="31.5" customHeight="1" x14ac:dyDescent="0.3">
      <c r="A12" s="12">
        <v>5</v>
      </c>
      <c r="B12" s="6" t="s">
        <v>2</v>
      </c>
      <c r="C12" s="20" t="s">
        <v>25</v>
      </c>
      <c r="D12" s="21" t="s">
        <v>26</v>
      </c>
      <c r="E12" s="6">
        <v>8</v>
      </c>
      <c r="F12" s="6" t="s">
        <v>3</v>
      </c>
      <c r="G12" s="22">
        <v>52200</v>
      </c>
      <c r="H12" s="23">
        <f t="shared" si="0"/>
        <v>417600</v>
      </c>
    </row>
    <row r="13" spans="1:11" s="29" customFormat="1" ht="31.5" customHeight="1" x14ac:dyDescent="0.3">
      <c r="A13" s="12">
        <v>6</v>
      </c>
      <c r="B13" s="6" t="s">
        <v>2</v>
      </c>
      <c r="C13" s="20" t="s">
        <v>27</v>
      </c>
      <c r="D13" s="21" t="s">
        <v>28</v>
      </c>
      <c r="E13" s="6">
        <v>8</v>
      </c>
      <c r="F13" s="6" t="s">
        <v>3</v>
      </c>
      <c r="G13" s="22">
        <v>75900</v>
      </c>
      <c r="H13" s="8" t="s">
        <v>54</v>
      </c>
    </row>
    <row r="14" spans="1:11" ht="15" customHeight="1" x14ac:dyDescent="0.25">
      <c r="A14" s="24"/>
      <c r="B14" s="25"/>
      <c r="C14" s="40" t="s">
        <v>5</v>
      </c>
      <c r="D14" s="40"/>
      <c r="E14" s="26"/>
      <c r="F14" s="27"/>
      <c r="G14" s="38"/>
      <c r="H14" s="28"/>
    </row>
    <row r="15" spans="1:11" s="29" customFormat="1" ht="31.5" customHeight="1" x14ac:dyDescent="0.3">
      <c r="A15" s="12">
        <v>7</v>
      </c>
      <c r="B15" s="6" t="s">
        <v>2</v>
      </c>
      <c r="C15" s="20" t="s">
        <v>49</v>
      </c>
      <c r="D15" s="21" t="s">
        <v>50</v>
      </c>
      <c r="E15" s="6">
        <v>4</v>
      </c>
      <c r="F15" s="6" t="s">
        <v>3</v>
      </c>
      <c r="G15" s="22">
        <v>1346700</v>
      </c>
      <c r="H15" s="23">
        <f t="shared" si="0"/>
        <v>5386800</v>
      </c>
    </row>
    <row r="16" spans="1:11" s="29" customFormat="1" ht="31.5" customHeight="1" x14ac:dyDescent="0.3">
      <c r="A16" s="12">
        <v>8</v>
      </c>
      <c r="B16" s="6" t="s">
        <v>2</v>
      </c>
      <c r="C16" s="20" t="s">
        <v>51</v>
      </c>
      <c r="D16" s="21" t="s">
        <v>52</v>
      </c>
      <c r="E16" s="6">
        <v>2</v>
      </c>
      <c r="F16" s="6" t="s">
        <v>3</v>
      </c>
      <c r="G16" s="22">
        <v>1147600</v>
      </c>
      <c r="H16" s="23">
        <f t="shared" ref="H16" si="1">E16*G16</f>
        <v>2295200</v>
      </c>
    </row>
    <row r="17" spans="1:8" ht="15" customHeight="1" x14ac:dyDescent="0.25">
      <c r="A17" s="24"/>
      <c r="B17" s="25"/>
      <c r="C17" s="40" t="s">
        <v>31</v>
      </c>
      <c r="D17" s="40"/>
      <c r="E17" s="26"/>
      <c r="F17" s="27"/>
      <c r="G17" s="38"/>
      <c r="H17" s="28"/>
    </row>
    <row r="18" spans="1:8" s="29" customFormat="1" ht="31.5" customHeight="1" x14ac:dyDescent="0.3">
      <c r="A18" s="12">
        <v>9</v>
      </c>
      <c r="B18" s="6" t="s">
        <v>2</v>
      </c>
      <c r="C18" s="20" t="s">
        <v>34</v>
      </c>
      <c r="D18" s="21" t="s">
        <v>35</v>
      </c>
      <c r="E18" s="6">
        <v>4</v>
      </c>
      <c r="F18" s="6" t="s">
        <v>3</v>
      </c>
      <c r="G18" s="22">
        <v>74900</v>
      </c>
      <c r="H18" s="23">
        <f t="shared" si="0"/>
        <v>299600</v>
      </c>
    </row>
    <row r="19" spans="1:8" s="29" customFormat="1" ht="31.5" customHeight="1" x14ac:dyDescent="0.3">
      <c r="A19" s="12">
        <v>10</v>
      </c>
      <c r="B19" s="6" t="s">
        <v>2</v>
      </c>
      <c r="C19" s="20" t="s">
        <v>44</v>
      </c>
      <c r="D19" s="21" t="s">
        <v>45</v>
      </c>
      <c r="E19" s="6">
        <v>2</v>
      </c>
      <c r="F19" s="6" t="s">
        <v>3</v>
      </c>
      <c r="G19" s="22">
        <v>35900</v>
      </c>
      <c r="H19" s="23">
        <f t="shared" si="0"/>
        <v>71800</v>
      </c>
    </row>
    <row r="20" spans="1:8" s="29" customFormat="1" ht="31.5" customHeight="1" x14ac:dyDescent="0.3">
      <c r="A20" s="12">
        <v>11</v>
      </c>
      <c r="B20" s="6" t="s">
        <v>2</v>
      </c>
      <c r="C20" s="20" t="s">
        <v>46</v>
      </c>
      <c r="D20" s="21" t="s">
        <v>47</v>
      </c>
      <c r="E20" s="6">
        <v>8</v>
      </c>
      <c r="F20" s="6" t="s">
        <v>3</v>
      </c>
      <c r="G20" s="22">
        <v>5400</v>
      </c>
      <c r="H20" s="23">
        <f t="shared" ref="H20" si="2">E20*G20</f>
        <v>43200</v>
      </c>
    </row>
    <row r="21" spans="1:8" s="29" customFormat="1" ht="31.5" customHeight="1" thickBot="1" x14ac:dyDescent="0.35">
      <c r="A21" s="30">
        <v>12</v>
      </c>
      <c r="B21" s="31" t="s">
        <v>2</v>
      </c>
      <c r="C21" s="32" t="s">
        <v>36</v>
      </c>
      <c r="D21" s="33" t="s">
        <v>37</v>
      </c>
      <c r="E21" s="31">
        <v>2</v>
      </c>
      <c r="F21" s="31" t="s">
        <v>3</v>
      </c>
      <c r="G21" s="34">
        <v>39700</v>
      </c>
      <c r="H21" s="35">
        <f t="shared" si="0"/>
        <v>79400</v>
      </c>
    </row>
    <row r="22" spans="1:8" ht="6" customHeight="1" x14ac:dyDescent="0.25"/>
    <row r="23" spans="1:8" ht="21" x14ac:dyDescent="0.25">
      <c r="F23" s="5" t="s">
        <v>6</v>
      </c>
      <c r="G23" s="39">
        <f>SUM(H7:H21)</f>
        <v>25077600</v>
      </c>
      <c r="H23" s="39"/>
    </row>
    <row r="24" spans="1:8" ht="21" x14ac:dyDescent="0.25">
      <c r="F24" s="5" t="s">
        <v>7</v>
      </c>
      <c r="G24" s="39">
        <f>G23*18%</f>
        <v>4513968</v>
      </c>
      <c r="H24" s="39"/>
    </row>
    <row r="25" spans="1:8" ht="21" x14ac:dyDescent="0.25">
      <c r="F25" s="5" t="s">
        <v>8</v>
      </c>
      <c r="G25" s="39">
        <f>SUM(G23:H24)</f>
        <v>29591568</v>
      </c>
      <c r="H25" s="39"/>
    </row>
  </sheetData>
  <mergeCells count="8">
    <mergeCell ref="G25:H25"/>
    <mergeCell ref="C6:D6"/>
    <mergeCell ref="E6:H6"/>
    <mergeCell ref="C10:D10"/>
    <mergeCell ref="C14:D14"/>
    <mergeCell ref="C17:D17"/>
    <mergeCell ref="G23:H23"/>
    <mergeCell ref="G24:H24"/>
  </mergeCells>
  <pageMargins left="0.25" right="0.25" top="0.75" bottom="0.79522058823529407" header="0.3" footer="0.3"/>
  <pageSetup paperSize="9" scale="84" fitToHeight="0" orientation="landscape" horizontalDpi="300" verticalDpi="300" r:id="rId1"/>
  <headerFooter>
    <oddHeader>&amp;L&amp;G</oddHeader>
    <oddFooter>&amp;C&amp;G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5DB8-4E4E-4C98-930A-82FFA82BF267}">
  <sheetPr>
    <pageSetUpPr fitToPage="1"/>
  </sheetPr>
  <dimension ref="A1:H40"/>
  <sheetViews>
    <sheetView tabSelected="1" zoomScaleNormal="100" zoomScalePageLayoutView="85" workbookViewId="0">
      <selection activeCell="G38" sqref="G38:H38"/>
    </sheetView>
  </sheetViews>
  <sheetFormatPr defaultColWidth="9" defaultRowHeight="15" x14ac:dyDescent="0.25"/>
  <cols>
    <col min="1" max="1" width="7.5703125" style="13" customWidth="1"/>
    <col min="2" max="2" width="15.28515625" style="13" customWidth="1"/>
    <col min="3" max="3" width="20.85546875" style="13" customWidth="1"/>
    <col min="4" max="4" width="48.140625" style="13" customWidth="1"/>
    <col min="5" max="6" width="6.5703125" style="13" customWidth="1"/>
    <col min="7" max="7" width="18.28515625" style="13" customWidth="1"/>
    <col min="8" max="8" width="19.28515625" style="13" customWidth="1"/>
    <col min="9" max="16384" width="9" style="13"/>
  </cols>
  <sheetData>
    <row r="1" spans="1:8" ht="54" x14ac:dyDescent="0.25">
      <c r="C1" s="14"/>
      <c r="D1" s="15"/>
      <c r="H1" s="7" t="s">
        <v>60</v>
      </c>
    </row>
    <row r="2" spans="1:8" ht="15.75" customHeight="1" x14ac:dyDescent="0.25">
      <c r="C2" s="14"/>
      <c r="D2" s="15"/>
      <c r="E2" s="37"/>
      <c r="G2" s="1" t="s">
        <v>0</v>
      </c>
      <c r="H2" s="16">
        <v>46162</v>
      </c>
    </row>
    <row r="3" spans="1:8" ht="9.75" customHeight="1" thickBot="1" x14ac:dyDescent="0.3">
      <c r="A3" s="2"/>
      <c r="B3" s="2"/>
      <c r="C3" s="17"/>
      <c r="D3" s="4"/>
      <c r="E3" s="3"/>
      <c r="F3" s="37"/>
      <c r="G3" s="36"/>
      <c r="H3" s="36"/>
    </row>
    <row r="4" spans="1:8" ht="17.25" x14ac:dyDescent="0.25">
      <c r="A4" s="9" t="s">
        <v>9</v>
      </c>
      <c r="B4" s="10" t="s">
        <v>10</v>
      </c>
      <c r="C4" s="10" t="s">
        <v>11</v>
      </c>
      <c r="D4" s="10" t="s">
        <v>12</v>
      </c>
      <c r="E4" s="10" t="s">
        <v>13</v>
      </c>
      <c r="F4" s="10" t="s">
        <v>14</v>
      </c>
      <c r="G4" s="10" t="s">
        <v>15</v>
      </c>
      <c r="H4" s="11" t="s">
        <v>16</v>
      </c>
    </row>
    <row r="5" spans="1:8" ht="18.75" x14ac:dyDescent="0.25">
      <c r="A5" s="18"/>
      <c r="B5" s="19"/>
      <c r="C5" s="40" t="s">
        <v>1</v>
      </c>
      <c r="D5" s="40"/>
      <c r="E5" s="41"/>
      <c r="F5" s="41"/>
      <c r="G5" s="41"/>
      <c r="H5" s="42"/>
    </row>
    <row r="6" spans="1:8" ht="31.5" customHeight="1" x14ac:dyDescent="0.25">
      <c r="A6" s="12">
        <v>1</v>
      </c>
      <c r="B6" s="6" t="s">
        <v>2</v>
      </c>
      <c r="C6" s="20" t="s">
        <v>61</v>
      </c>
      <c r="D6" s="21" t="s">
        <v>62</v>
      </c>
      <c r="E6" s="6">
        <v>2</v>
      </c>
      <c r="F6" s="6" t="s">
        <v>3</v>
      </c>
      <c r="G6" s="22">
        <v>6089900</v>
      </c>
      <c r="H6" s="23">
        <f t="shared" ref="H6:H36" si="0">E6*G6</f>
        <v>12179800</v>
      </c>
    </row>
    <row r="7" spans="1:8" ht="31.5" customHeight="1" x14ac:dyDescent="0.25">
      <c r="A7" s="12">
        <v>2</v>
      </c>
      <c r="B7" s="6" t="s">
        <v>2</v>
      </c>
      <c r="C7" s="20" t="s">
        <v>63</v>
      </c>
      <c r="D7" s="21" t="s">
        <v>64</v>
      </c>
      <c r="E7" s="6">
        <v>2</v>
      </c>
      <c r="F7" s="6" t="s">
        <v>3</v>
      </c>
      <c r="G7" s="22">
        <v>6089900</v>
      </c>
      <c r="H7" s="23">
        <f t="shared" si="0"/>
        <v>12179800</v>
      </c>
    </row>
    <row r="8" spans="1:8" ht="31.5" customHeight="1" x14ac:dyDescent="0.25">
      <c r="A8" s="12">
        <v>3</v>
      </c>
      <c r="B8" s="6" t="s">
        <v>2</v>
      </c>
      <c r="C8" s="20" t="s">
        <v>65</v>
      </c>
      <c r="D8" s="21" t="s">
        <v>66</v>
      </c>
      <c r="E8" s="26">
        <v>2</v>
      </c>
      <c r="F8" s="6" t="s">
        <v>3</v>
      </c>
      <c r="G8" s="22">
        <v>232400</v>
      </c>
      <c r="H8" s="23">
        <f t="shared" si="0"/>
        <v>464800</v>
      </c>
    </row>
    <row r="9" spans="1:8" ht="31.5" customHeight="1" x14ac:dyDescent="0.25">
      <c r="A9" s="12">
        <v>4</v>
      </c>
      <c r="B9" s="6" t="s">
        <v>2</v>
      </c>
      <c r="C9" s="20" t="s">
        <v>67</v>
      </c>
      <c r="D9" s="21" t="s">
        <v>68</v>
      </c>
      <c r="E9" s="26">
        <v>2</v>
      </c>
      <c r="F9" s="6" t="s">
        <v>3</v>
      </c>
      <c r="G9" s="22">
        <v>100500</v>
      </c>
      <c r="H9" s="23">
        <f t="shared" si="0"/>
        <v>201000</v>
      </c>
    </row>
    <row r="10" spans="1:8" ht="31.5" customHeight="1" x14ac:dyDescent="0.25">
      <c r="A10" s="12">
        <v>5</v>
      </c>
      <c r="B10" s="6" t="s">
        <v>2</v>
      </c>
      <c r="C10" s="20" t="s">
        <v>69</v>
      </c>
      <c r="D10" s="21" t="s">
        <v>70</v>
      </c>
      <c r="E10" s="26">
        <v>2</v>
      </c>
      <c r="F10" s="6" t="s">
        <v>3</v>
      </c>
      <c r="G10" s="22">
        <v>67300</v>
      </c>
      <c r="H10" s="23">
        <f t="shared" si="0"/>
        <v>134600</v>
      </c>
    </row>
    <row r="11" spans="1:8" ht="31.5" customHeight="1" x14ac:dyDescent="0.25">
      <c r="A11" s="12">
        <v>6</v>
      </c>
      <c r="B11" s="6" t="s">
        <v>2</v>
      </c>
      <c r="C11" s="20" t="s">
        <v>71</v>
      </c>
      <c r="D11" s="21" t="s">
        <v>72</v>
      </c>
      <c r="E11" s="26">
        <v>2</v>
      </c>
      <c r="F11" s="6" t="s">
        <v>3</v>
      </c>
      <c r="G11" s="22">
        <v>289300</v>
      </c>
      <c r="H11" s="23">
        <f t="shared" si="0"/>
        <v>578600</v>
      </c>
    </row>
    <row r="12" spans="1:8" ht="31.5" customHeight="1" x14ac:dyDescent="0.25">
      <c r="A12" s="12">
        <v>7</v>
      </c>
      <c r="B12" s="6" t="s">
        <v>2</v>
      </c>
      <c r="C12" s="20" t="s">
        <v>73</v>
      </c>
      <c r="D12" s="21" t="s">
        <v>74</v>
      </c>
      <c r="E12" s="26">
        <v>2</v>
      </c>
      <c r="F12" s="6" t="s">
        <v>3</v>
      </c>
      <c r="G12" s="22">
        <v>103400</v>
      </c>
      <c r="H12" s="23">
        <f t="shared" si="0"/>
        <v>206800</v>
      </c>
    </row>
    <row r="13" spans="1:8" ht="31.5" customHeight="1" x14ac:dyDescent="0.25">
      <c r="A13" s="12">
        <v>8</v>
      </c>
      <c r="B13" s="6" t="s">
        <v>2</v>
      </c>
      <c r="C13" s="20" t="s">
        <v>75</v>
      </c>
      <c r="D13" s="21" t="s">
        <v>76</v>
      </c>
      <c r="E13" s="26">
        <v>2</v>
      </c>
      <c r="F13" s="6" t="s">
        <v>3</v>
      </c>
      <c r="G13" s="22">
        <v>69200</v>
      </c>
      <c r="H13" s="23">
        <f t="shared" si="0"/>
        <v>138400</v>
      </c>
    </row>
    <row r="14" spans="1:8" ht="31.5" customHeight="1" x14ac:dyDescent="0.25">
      <c r="A14" s="12">
        <v>9</v>
      </c>
      <c r="B14" s="6" t="s">
        <v>2</v>
      </c>
      <c r="C14" s="20" t="s">
        <v>77</v>
      </c>
      <c r="D14" s="21" t="s">
        <v>78</v>
      </c>
      <c r="E14" s="26">
        <v>2</v>
      </c>
      <c r="F14" s="6" t="s">
        <v>3</v>
      </c>
      <c r="G14" s="22">
        <v>310100</v>
      </c>
      <c r="H14" s="23">
        <f t="shared" si="0"/>
        <v>620200</v>
      </c>
    </row>
    <row r="15" spans="1:8" ht="31.5" customHeight="1" x14ac:dyDescent="0.25">
      <c r="A15" s="12">
        <v>10</v>
      </c>
      <c r="B15" s="6" t="s">
        <v>2</v>
      </c>
      <c r="C15" s="20" t="s">
        <v>79</v>
      </c>
      <c r="D15" s="21" t="s">
        <v>80</v>
      </c>
      <c r="E15" s="26">
        <v>2</v>
      </c>
      <c r="F15" s="6" t="s">
        <v>3</v>
      </c>
      <c r="G15" s="22">
        <v>129900</v>
      </c>
      <c r="H15" s="23">
        <f t="shared" si="0"/>
        <v>259800</v>
      </c>
    </row>
    <row r="16" spans="1:8" ht="31.5" customHeight="1" x14ac:dyDescent="0.25">
      <c r="A16" s="12">
        <v>11</v>
      </c>
      <c r="B16" s="6" t="s">
        <v>2</v>
      </c>
      <c r="C16" s="20" t="s">
        <v>81</v>
      </c>
      <c r="D16" s="21" t="s">
        <v>82</v>
      </c>
      <c r="E16" s="26">
        <v>2</v>
      </c>
      <c r="F16" s="6" t="s">
        <v>3</v>
      </c>
      <c r="G16" s="22">
        <v>37800</v>
      </c>
      <c r="H16" s="23">
        <f t="shared" si="0"/>
        <v>75600</v>
      </c>
    </row>
    <row r="17" spans="1:8" ht="31.5" customHeight="1" x14ac:dyDescent="0.25">
      <c r="A17" s="12">
        <v>12</v>
      </c>
      <c r="B17" s="6" t="s">
        <v>2</v>
      </c>
      <c r="C17" s="20" t="s">
        <v>83</v>
      </c>
      <c r="D17" s="21" t="s">
        <v>84</v>
      </c>
      <c r="E17" s="26">
        <v>2</v>
      </c>
      <c r="F17" s="6" t="s">
        <v>3</v>
      </c>
      <c r="G17" s="22">
        <v>22400</v>
      </c>
      <c r="H17" s="23">
        <f t="shared" si="0"/>
        <v>44800</v>
      </c>
    </row>
    <row r="18" spans="1:8" ht="31.5" customHeight="1" x14ac:dyDescent="0.25">
      <c r="A18" s="12">
        <v>13</v>
      </c>
      <c r="B18" s="6" t="s">
        <v>2</v>
      </c>
      <c r="C18" s="20" t="s">
        <v>85</v>
      </c>
      <c r="D18" s="21" t="s">
        <v>86</v>
      </c>
      <c r="E18" s="26">
        <v>2</v>
      </c>
      <c r="F18" s="6" t="s">
        <v>3</v>
      </c>
      <c r="G18" s="22">
        <v>79700</v>
      </c>
      <c r="H18" s="23">
        <f t="shared" si="0"/>
        <v>159400</v>
      </c>
    </row>
    <row r="19" spans="1:8" ht="31.5" customHeight="1" x14ac:dyDescent="0.25">
      <c r="A19" s="12">
        <v>14</v>
      </c>
      <c r="B19" s="6" t="s">
        <v>2</v>
      </c>
      <c r="C19" s="20" t="s">
        <v>87</v>
      </c>
      <c r="D19" s="21" t="s">
        <v>88</v>
      </c>
      <c r="E19" s="26">
        <v>2</v>
      </c>
      <c r="F19" s="6" t="s">
        <v>3</v>
      </c>
      <c r="G19" s="22">
        <v>644900</v>
      </c>
      <c r="H19" s="23">
        <f t="shared" si="0"/>
        <v>1289800</v>
      </c>
    </row>
    <row r="20" spans="1:8" ht="31.5" customHeight="1" x14ac:dyDescent="0.25">
      <c r="A20" s="12">
        <v>15</v>
      </c>
      <c r="B20" s="6" t="s">
        <v>2</v>
      </c>
      <c r="C20" s="20" t="s">
        <v>89</v>
      </c>
      <c r="D20" s="21" t="s">
        <v>90</v>
      </c>
      <c r="E20" s="26">
        <v>1</v>
      </c>
      <c r="F20" s="6" t="s">
        <v>3</v>
      </c>
      <c r="G20" s="22">
        <v>77800</v>
      </c>
      <c r="H20" s="23">
        <f t="shared" si="0"/>
        <v>77800</v>
      </c>
    </row>
    <row r="21" spans="1:8" ht="31.5" customHeight="1" x14ac:dyDescent="0.25">
      <c r="A21" s="12">
        <v>16</v>
      </c>
      <c r="B21" s="6" t="s">
        <v>2</v>
      </c>
      <c r="C21" s="20" t="s">
        <v>91</v>
      </c>
      <c r="D21" s="21" t="s">
        <v>92</v>
      </c>
      <c r="E21" s="26">
        <v>2</v>
      </c>
      <c r="F21" s="6" t="s">
        <v>3</v>
      </c>
      <c r="G21" s="22">
        <v>125200</v>
      </c>
      <c r="H21" s="23">
        <f t="shared" si="0"/>
        <v>250400</v>
      </c>
    </row>
    <row r="22" spans="1:8" ht="18.75" x14ac:dyDescent="0.25">
      <c r="A22" s="24"/>
      <c r="B22" s="25"/>
      <c r="C22" s="40" t="s">
        <v>4</v>
      </c>
      <c r="D22" s="40"/>
      <c r="E22" s="26"/>
      <c r="F22" s="27"/>
      <c r="G22" s="38"/>
      <c r="H22" s="28"/>
    </row>
    <row r="23" spans="1:8" s="29" customFormat="1" ht="31.5" customHeight="1" x14ac:dyDescent="0.3">
      <c r="A23" s="12">
        <v>17</v>
      </c>
      <c r="B23" s="6" t="s">
        <v>2</v>
      </c>
      <c r="C23" s="20" t="s">
        <v>23</v>
      </c>
      <c r="D23" s="21" t="s">
        <v>24</v>
      </c>
      <c r="E23" s="6">
        <v>8</v>
      </c>
      <c r="F23" s="6" t="s">
        <v>3</v>
      </c>
      <c r="G23" s="22">
        <v>892700</v>
      </c>
      <c r="H23" s="23">
        <f t="shared" si="0"/>
        <v>7141600</v>
      </c>
    </row>
    <row r="24" spans="1:8" s="29" customFormat="1" ht="31.5" customHeight="1" x14ac:dyDescent="0.3">
      <c r="A24" s="12">
        <v>18</v>
      </c>
      <c r="B24" s="6" t="s">
        <v>2</v>
      </c>
      <c r="C24" s="20" t="s">
        <v>25</v>
      </c>
      <c r="D24" s="21" t="s">
        <v>26</v>
      </c>
      <c r="E24" s="6">
        <v>8</v>
      </c>
      <c r="F24" s="6" t="s">
        <v>3</v>
      </c>
      <c r="G24" s="22">
        <v>52200</v>
      </c>
      <c r="H24" s="23">
        <f t="shared" si="0"/>
        <v>417600</v>
      </c>
    </row>
    <row r="25" spans="1:8" s="29" customFormat="1" ht="31.5" customHeight="1" x14ac:dyDescent="0.3">
      <c r="A25" s="12">
        <v>19</v>
      </c>
      <c r="B25" s="6" t="s">
        <v>2</v>
      </c>
      <c r="C25" s="20" t="s">
        <v>27</v>
      </c>
      <c r="D25" s="21" t="s">
        <v>28</v>
      </c>
      <c r="E25" s="6">
        <v>8</v>
      </c>
      <c r="F25" s="6" t="s">
        <v>3</v>
      </c>
      <c r="G25" s="22">
        <v>75900</v>
      </c>
      <c r="H25" s="8" t="s">
        <v>54</v>
      </c>
    </row>
    <row r="26" spans="1:8" ht="18.75" x14ac:dyDescent="0.25">
      <c r="A26" s="24"/>
      <c r="B26" s="25"/>
      <c r="C26" s="40" t="s">
        <v>5</v>
      </c>
      <c r="D26" s="40"/>
      <c r="E26" s="26"/>
      <c r="F26" s="27"/>
      <c r="G26" s="38"/>
      <c r="H26" s="28"/>
    </row>
    <row r="27" spans="1:8" s="29" customFormat="1" ht="31.5" customHeight="1" x14ac:dyDescent="0.3">
      <c r="A27" s="12">
        <v>20</v>
      </c>
      <c r="B27" s="6" t="s">
        <v>2</v>
      </c>
      <c r="C27" s="20" t="s">
        <v>93</v>
      </c>
      <c r="D27" s="21" t="s">
        <v>94</v>
      </c>
      <c r="E27" s="6">
        <v>2</v>
      </c>
      <c r="F27" s="6" t="s">
        <v>3</v>
      </c>
      <c r="G27" s="22">
        <v>1176000</v>
      </c>
      <c r="H27" s="23">
        <f t="shared" si="0"/>
        <v>2352000</v>
      </c>
    </row>
    <row r="28" spans="1:8" s="29" customFormat="1" ht="31.5" customHeight="1" x14ac:dyDescent="0.3">
      <c r="A28" s="12">
        <v>21</v>
      </c>
      <c r="B28" s="6" t="s">
        <v>2</v>
      </c>
      <c r="C28" s="20" t="s">
        <v>95</v>
      </c>
      <c r="D28" s="21" t="s">
        <v>96</v>
      </c>
      <c r="E28" s="26">
        <v>4</v>
      </c>
      <c r="F28" s="6" t="s">
        <v>3</v>
      </c>
      <c r="G28" s="22">
        <v>1858900</v>
      </c>
      <c r="H28" s="23">
        <f t="shared" si="0"/>
        <v>7435600</v>
      </c>
    </row>
    <row r="29" spans="1:8" s="29" customFormat="1" ht="31.5" customHeight="1" x14ac:dyDescent="0.3">
      <c r="A29" s="43">
        <v>22</v>
      </c>
      <c r="B29" s="6" t="s">
        <v>2</v>
      </c>
      <c r="C29" s="20" t="s">
        <v>49</v>
      </c>
      <c r="D29" s="21" t="s">
        <v>50</v>
      </c>
      <c r="E29" s="26">
        <v>2</v>
      </c>
      <c r="F29" s="6" t="s">
        <v>3</v>
      </c>
      <c r="G29" s="22">
        <v>1346700</v>
      </c>
      <c r="H29" s="23">
        <f t="shared" si="0"/>
        <v>2693400</v>
      </c>
    </row>
    <row r="30" spans="1:8" s="29" customFormat="1" ht="31.5" customHeight="1" x14ac:dyDescent="0.3">
      <c r="A30" s="43">
        <v>23</v>
      </c>
      <c r="B30" s="6" t="s">
        <v>2</v>
      </c>
      <c r="C30" s="20" t="s">
        <v>51</v>
      </c>
      <c r="D30" s="21" t="s">
        <v>52</v>
      </c>
      <c r="E30" s="26">
        <v>1</v>
      </c>
      <c r="F30" s="6" t="s">
        <v>3</v>
      </c>
      <c r="G30" s="22">
        <v>1147600</v>
      </c>
      <c r="H30" s="23">
        <f t="shared" si="0"/>
        <v>1147600</v>
      </c>
    </row>
    <row r="31" spans="1:8" s="29" customFormat="1" ht="31.5" customHeight="1" x14ac:dyDescent="0.3">
      <c r="A31" s="43">
        <v>24</v>
      </c>
      <c r="B31" s="6" t="s">
        <v>2</v>
      </c>
      <c r="C31" s="20" t="s">
        <v>97</v>
      </c>
      <c r="D31" s="21" t="s">
        <v>98</v>
      </c>
      <c r="E31" s="26">
        <v>2</v>
      </c>
      <c r="F31" s="6" t="s">
        <v>3</v>
      </c>
      <c r="G31" s="22">
        <v>26400</v>
      </c>
      <c r="H31" s="23">
        <f t="shared" si="0"/>
        <v>52800</v>
      </c>
    </row>
    <row r="32" spans="1:8" s="29" customFormat="1" ht="31.5" customHeight="1" x14ac:dyDescent="0.3">
      <c r="A32" s="43">
        <v>25</v>
      </c>
      <c r="B32" s="6" t="s">
        <v>2</v>
      </c>
      <c r="C32" s="20" t="s">
        <v>99</v>
      </c>
      <c r="D32" s="21" t="s">
        <v>100</v>
      </c>
      <c r="E32" s="26">
        <v>1</v>
      </c>
      <c r="F32" s="6" t="s">
        <v>3</v>
      </c>
      <c r="G32" s="22">
        <v>825100</v>
      </c>
      <c r="H32" s="23">
        <f t="shared" si="0"/>
        <v>825100</v>
      </c>
    </row>
    <row r="33" spans="1:8" ht="18.75" x14ac:dyDescent="0.25">
      <c r="A33" s="24"/>
      <c r="B33" s="25"/>
      <c r="C33" s="40" t="s">
        <v>31</v>
      </c>
      <c r="D33" s="40"/>
      <c r="E33" s="26"/>
      <c r="F33" s="27"/>
      <c r="G33" s="38"/>
      <c r="H33" s="28"/>
    </row>
    <row r="34" spans="1:8" s="29" customFormat="1" ht="31.5" customHeight="1" x14ac:dyDescent="0.3">
      <c r="A34" s="12">
        <v>18</v>
      </c>
      <c r="B34" s="6" t="s">
        <v>2</v>
      </c>
      <c r="C34" s="20" t="s">
        <v>34</v>
      </c>
      <c r="D34" s="21" t="s">
        <v>35</v>
      </c>
      <c r="E34" s="6">
        <v>2</v>
      </c>
      <c r="F34" s="6" t="s">
        <v>3</v>
      </c>
      <c r="G34" s="22">
        <v>74900</v>
      </c>
      <c r="H34" s="23">
        <f t="shared" si="0"/>
        <v>149800</v>
      </c>
    </row>
    <row r="35" spans="1:8" s="29" customFormat="1" ht="31.5" customHeight="1" x14ac:dyDescent="0.3">
      <c r="A35" s="12">
        <v>19</v>
      </c>
      <c r="B35" s="6" t="s">
        <v>2</v>
      </c>
      <c r="C35" s="20" t="s">
        <v>36</v>
      </c>
      <c r="D35" s="21" t="s">
        <v>37</v>
      </c>
      <c r="E35" s="6">
        <v>2</v>
      </c>
      <c r="F35" s="6" t="s">
        <v>3</v>
      </c>
      <c r="G35" s="22">
        <v>39700</v>
      </c>
      <c r="H35" s="23">
        <f t="shared" si="0"/>
        <v>79400</v>
      </c>
    </row>
    <row r="36" spans="1:8" s="29" customFormat="1" ht="31.5" customHeight="1" thickBot="1" x14ac:dyDescent="0.35">
      <c r="A36" s="44">
        <v>20</v>
      </c>
      <c r="B36" s="31" t="s">
        <v>2</v>
      </c>
      <c r="C36" s="32" t="s">
        <v>101</v>
      </c>
      <c r="D36" s="32" t="s">
        <v>102</v>
      </c>
      <c r="E36" s="32">
        <v>4</v>
      </c>
      <c r="F36" s="31" t="s">
        <v>3</v>
      </c>
      <c r="G36" s="34">
        <v>153600</v>
      </c>
      <c r="H36" s="35">
        <f t="shared" si="0"/>
        <v>614400</v>
      </c>
    </row>
    <row r="37" spans="1:8" ht="10.5" customHeight="1" x14ac:dyDescent="0.25"/>
    <row r="38" spans="1:8" ht="21" x14ac:dyDescent="0.25">
      <c r="F38" s="5" t="s">
        <v>6</v>
      </c>
      <c r="G38" s="39">
        <f>SUM(H6:H36)</f>
        <v>51770900</v>
      </c>
      <c r="H38" s="39"/>
    </row>
    <row r="39" spans="1:8" ht="21" x14ac:dyDescent="0.25">
      <c r="F39" s="5" t="s">
        <v>7</v>
      </c>
      <c r="G39" s="39">
        <f>G38*18%</f>
        <v>9318762</v>
      </c>
      <c r="H39" s="39"/>
    </row>
    <row r="40" spans="1:8" ht="21" x14ac:dyDescent="0.25">
      <c r="F40" s="5" t="s">
        <v>8</v>
      </c>
      <c r="G40" s="39">
        <f>SUM(G38:H39)</f>
        <v>61089662</v>
      </c>
      <c r="H40" s="39"/>
    </row>
  </sheetData>
  <mergeCells count="8">
    <mergeCell ref="G39:H39"/>
    <mergeCell ref="G40:H40"/>
    <mergeCell ref="C5:D5"/>
    <mergeCell ref="E5:H5"/>
    <mergeCell ref="C22:D22"/>
    <mergeCell ref="C26:D26"/>
    <mergeCell ref="C33:D33"/>
    <mergeCell ref="G38:H38"/>
  </mergeCells>
  <pageMargins left="0.25" right="0.25" top="0.75" bottom="0.79522058823529407" header="0.3" footer="0.3"/>
  <pageSetup paperSize="9" scale="84" fitToHeight="0" orientation="landscape" horizontalDpi="300" verticalDpi="300" r:id="rId1"/>
  <headerFooter>
    <oddHeader>&amp;L&amp;G</oddHeader>
    <oddFooter>&amp;C&amp;G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K2 (16x8)</vt:lpstr>
      <vt:lpstr>KARA II (12x4)</vt:lpstr>
      <vt:lpstr>KARA II (12x8)</vt:lpstr>
      <vt:lpstr>L2 (2x2x8)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Vimukt Singh</dc:creator>
  <cp:lastModifiedBy>Vimukt Singh</cp:lastModifiedBy>
  <cp:lastPrinted>2025-05-23T10:47:59Z</cp:lastPrinted>
  <dcterms:created xsi:type="dcterms:W3CDTF">2025-03-07T10:29:53Z</dcterms:created>
  <dcterms:modified xsi:type="dcterms:W3CDTF">2026-06-29T10:49:31Z</dcterms:modified>
</cp:coreProperties>
</file>